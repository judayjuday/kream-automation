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상품마스터" sheetId="2" state="visible" r:id="rId2"/>
    <sheet xmlns:r="http://schemas.openxmlformats.org/officeDocument/2006/relationships" name="고시정보" sheetId="3" state="visible" r:id="rId3"/>
    <sheet xmlns:r="http://schemas.openxmlformats.org/officeDocument/2006/relationships" name="대량입찰" sheetId="4" state="visible" r:id="rId4"/>
    <sheet xmlns:r="http://schemas.openxmlformats.org/officeDocument/2006/relationships" name="가격수집" sheetId="5" state="visible" r:id="rId5"/>
    <sheet xmlns:r="http://schemas.openxmlformats.org/officeDocument/2006/relationships" name="실행이력" sheetId="6" state="visible" r:id="rId6"/>
    <sheet xmlns:r="http://schemas.openxmlformats.org/officeDocument/2006/relationships" name="해외가격연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color rgb="00888888"/>
      <sz val="9"/>
    </font>
    <font>
      <name val="Arial"/>
      <color rgb="000000FF"/>
      <sz val="11"/>
    </font>
    <font>
      <name val="Arial"/>
      <color rgb="00000000"/>
      <sz val="11"/>
    </font>
    <font>
      <name val="Arial"/>
      <b val="1"/>
      <sz val="11"/>
    </font>
    <font>
      <name val="Arial"/>
      <color rgb="00777777"/>
      <sz val="10"/>
    </font>
    <font>
      <name val="Arial"/>
      <i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  <xf numFmtId="9" fontId="1" fillId="0" borderId="1" pivotButton="0" quotePrefix="0" xfId="0"/>
    <xf numFmtId="0" fontId="3" fillId="0" borderId="0" pivotButton="0" quotePrefix="0" xfId="0"/>
    <xf numFmtId="49" fontId="1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5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CNY→KRW 환율</t>
        </is>
      </c>
      <c r="B2" s="2" t="n">
        <v>218.12</v>
      </c>
      <c r="C2" s="2" t="inlineStr">
        <is>
          <t>위안화 환율 (마진 계산용, 상품마스터에서 ×1.03 적용)</t>
        </is>
      </c>
    </row>
    <row r="3">
      <c r="A3" s="2" t="inlineStr">
        <is>
          <t>관세청 고시환율 (CNY→KRW)</t>
        </is>
      </c>
      <c r="B3" s="2" t="n">
        <v>218.12</v>
      </c>
      <c r="C3" s="2" t="inlineStr">
        <is>
          <t>관세청 주간 고시환율 (관세 계산용)</t>
        </is>
      </c>
    </row>
    <row r="4">
      <c r="A4" s="2" t="inlineStr">
        <is>
          <t>USD→KRW 환율</t>
        </is>
      </c>
      <c r="B4" s="2" t="n">
        <v>1495.76</v>
      </c>
      <c r="C4" s="2" t="inlineStr">
        <is>
          <t>달러 환율 (150달러 초과 판단용)</t>
        </is>
      </c>
    </row>
    <row r="5">
      <c r="A5" s="2" t="inlineStr">
        <is>
          <t>KREAM 수수료율</t>
        </is>
      </c>
      <c r="B5" s="3" t="n">
        <v>0.06</v>
      </c>
      <c r="C5" s="2" t="inlineStr">
        <is>
          <t>레벨1~5: 5.5~6%, 이벤트: 3.5%</t>
        </is>
      </c>
    </row>
    <row r="6">
      <c r="A6" s="2" t="inlineStr">
        <is>
          <t>KREAM 고정수수료</t>
        </is>
      </c>
      <c r="B6" s="2" t="n">
        <v>2500</v>
      </c>
      <c r="C6" s="2" t="inlineStr">
        <is>
          <t>건당 고정</t>
        </is>
      </c>
    </row>
    <row r="7">
      <c r="A7" s="2" t="inlineStr">
        <is>
          <t>기본 해외배송비 (원)</t>
        </is>
      </c>
      <c r="B7" s="2" t="n">
        <v>8000</v>
      </c>
      <c r="C7" s="2" t="inlineStr">
        <is>
          <t>상품별 다를 수 있음 → 상품마스터에서 개별 수정 가능</t>
        </is>
      </c>
    </row>
    <row r="8">
      <c r="A8" s="2" t="inlineStr">
        <is>
          <t>관세 면세 기준 (USD)</t>
        </is>
      </c>
      <c r="B8" s="2" t="n">
        <v>150</v>
      </c>
      <c r="C8" s="2" t="inlineStr">
        <is>
          <t>USD 150달러 초과 시 관세 부과</t>
        </is>
      </c>
    </row>
    <row r="9">
      <c r="A9" s="2" t="inlineStr">
        <is>
          <t>의류/신발 관세율</t>
        </is>
      </c>
      <c r="B9" s="4" t="n">
        <v>0.13</v>
      </c>
      <c r="C9" s="2" t="inlineStr">
        <is>
          <t>13%</t>
        </is>
      </c>
    </row>
    <row r="10">
      <c r="A10" s="2" t="inlineStr">
        <is>
          <t>가방 관세율</t>
        </is>
      </c>
      <c r="B10" s="4" t="n">
        <v>0.08</v>
      </c>
      <c r="C10" s="2" t="inlineStr">
        <is>
          <t>8%</t>
        </is>
      </c>
    </row>
    <row r="11">
      <c r="A11" s="2" t="inlineStr">
        <is>
          <t>부가세율</t>
        </is>
      </c>
      <c r="B11" s="4" t="n">
        <v>0.1</v>
      </c>
      <c r="C11" s="2" t="inlineStr">
        <is>
          <t>관부가세 10%</t>
        </is>
      </c>
    </row>
    <row r="12">
      <c r="A12" s="2" t="inlineStr">
        <is>
          <t>목표 마진율</t>
        </is>
      </c>
      <c r="B12" s="4" t="n">
        <v>0.15</v>
      </c>
      <c r="C12" s="2" t="inlineStr">
        <is>
          <t>최소 15% 이상 추천</t>
        </is>
      </c>
    </row>
    <row r="13">
      <c r="A13" s="2" t="inlineStr">
        <is>
          <t>headless_mode</t>
        </is>
      </c>
      <c r="B13" s="2" t="inlineStr">
        <is>
          <t>false</t>
        </is>
      </c>
      <c r="C13" s="2" t="inlineStr">
        <is>
          <t>true면 브라우저 안 보임</t>
        </is>
      </c>
    </row>
    <row r="14">
      <c r="A14" s="2" t="inlineStr">
        <is>
          <t>delay_between_items</t>
        </is>
      </c>
      <c r="B14" s="2" t="n">
        <v>3</v>
      </c>
      <c r="C14" s="2" t="inlineStr">
        <is>
          <t>상품 간 대기 시간 (초)</t>
        </is>
      </c>
    </row>
    <row r="17">
      <c r="A17" s="5" t="inlineStr">
        <is>
          <t>[ 고시정보 기본값 ]</t>
        </is>
      </c>
    </row>
    <row r="18">
      <c r="A18" s="1" t="inlineStr">
        <is>
          <t>고시정보 기본값</t>
        </is>
      </c>
      <c r="B18" s="1" t="inlineStr">
        <is>
          <t>값</t>
        </is>
      </c>
      <c r="C18" s="1" t="inlineStr">
        <is>
          <t>설명</t>
        </is>
      </c>
    </row>
    <row r="19">
      <c r="A19" s="2" t="inlineStr">
        <is>
          <t>제조국</t>
        </is>
      </c>
      <c r="B19" s="2" t="inlineStr">
        <is>
          <t>상품별 상이 (케어라벨 참고)</t>
        </is>
      </c>
      <c r="C19" s="2" t="inlineStr"/>
    </row>
    <row r="20">
      <c r="A20" s="2" t="inlineStr">
        <is>
          <t>취급시 주의사항 (의류)</t>
        </is>
      </c>
      <c r="B20" s="2" t="inlineStr">
        <is>
          <t>세탁시 이염 주의/케어라벨 참조</t>
        </is>
      </c>
      <c r="C20" s="2" t="inlineStr"/>
    </row>
    <row r="21">
      <c r="A21" s="2" t="inlineStr">
        <is>
          <t>취급시 주의사항 (신발)</t>
        </is>
      </c>
      <c r="B21" s="2" t="inlineStr">
        <is>
          <t>직사광선 피하여 보관/케어라벨 참조</t>
        </is>
      </c>
      <c r="C21" s="2" t="inlineStr"/>
    </row>
    <row r="22">
      <c r="A22" s="2" t="inlineStr">
        <is>
          <t>취급시 주의사항 (가방)</t>
        </is>
      </c>
      <c r="B22" s="2" t="inlineStr">
        <is>
          <t>세탁시 이염 주의/케어라벨 참조</t>
        </is>
      </c>
      <c r="C22" s="2" t="inlineStr"/>
    </row>
    <row r="23">
      <c r="A23" s="2" t="inlineStr">
        <is>
          <t>품질보증기준</t>
        </is>
      </c>
      <c r="B23" s="2" t="inlineStr">
        <is>
          <t>관련 법 및 소비자 분쟁 해결 기준에 따름</t>
        </is>
      </c>
      <c r="C23" s="2" t="inlineStr"/>
    </row>
    <row r="24">
      <c r="A24" s="2" t="inlineStr">
        <is>
          <t>AS 전화번호</t>
        </is>
      </c>
      <c r="B24" s="6" t="inlineStr">
        <is>
          <t>01075446127</t>
        </is>
      </c>
      <c r="C24" s="2" t="inlineStr">
        <is>
          <t>주데이 연락처</t>
        </is>
      </c>
    </row>
    <row r="25">
      <c r="A25" s="2" t="inlineStr">
        <is>
          <t>발길이 (신발)</t>
        </is>
      </c>
      <c r="B25" s="2" t="inlineStr">
        <is>
          <t>상품별 상이 (사이즈표 참고)</t>
        </is>
      </c>
      <c r="C25" s="2" t="inlineStr"/>
    </row>
    <row r="26">
      <c r="A26" s="2" t="inlineStr">
        <is>
          <t>굽높이 (신발)</t>
        </is>
      </c>
      <c r="B26" s="2" t="inlineStr">
        <is>
          <t>상품별 상이</t>
        </is>
      </c>
      <c r="C26" s="2" t="inlineStr"/>
    </row>
    <row r="27">
      <c r="A27" s="2" t="inlineStr">
        <is>
          <t>제조년월</t>
        </is>
      </c>
      <c r="B27" s="2" t="inlineStr">
        <is>
          <t>상품별 상이</t>
        </is>
      </c>
      <c r="C2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0" customWidth="1" min="4" max="4"/>
    <col width="40" customWidth="1" min="5" max="5"/>
    <col width="35" customWidth="1" min="6" max="6"/>
    <col width="10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0" customWidth="1" min="24" max="24"/>
    <col width="12" customWidth="1" min="25" max="25"/>
    <col width="12" customWidth="1" min="26" max="26"/>
    <col width="14" customWidth="1" min="27" max="27"/>
    <col width="12" customWidth="1" min="28" max="28"/>
    <col width="10" customWidth="1" min="29" max="29"/>
    <col width="10" customWidth="1" min="30" max="30"/>
    <col width="14" customWidth="1" min="31" max="31"/>
  </cols>
  <sheetData>
    <row r="1" ht="55" customHeight="1">
      <c r="A1" s="1" t="inlineStr">
        <is>
          <t>No.</t>
        </is>
      </c>
      <c r="B1" s="1" t="inlineStr">
        <is>
          <t>상품번호
(KREAM)</t>
        </is>
      </c>
      <c r="C1" s="1" t="inlineStr">
        <is>
          <t>모델번호</t>
        </is>
      </c>
      <c r="D1" s="1" t="inlineStr">
        <is>
          <t>브랜드</t>
        </is>
      </c>
      <c r="E1" s="1" t="inlineStr">
        <is>
          <t>영문 상품명</t>
        </is>
      </c>
      <c r="F1" s="1" t="inlineStr">
        <is>
          <t>한글 상품명</t>
        </is>
      </c>
      <c r="G1" s="1" t="inlineStr">
        <is>
          <t>카테고리</t>
        </is>
      </c>
      <c r="H1" s="1" t="inlineStr">
        <is>
          <t>사이즈/옵션</t>
        </is>
      </c>
      <c r="I1" s="1" t="inlineStr">
        <is>
          <t>중국 구매가
(CNY)</t>
        </is>
      </c>
      <c r="J1" s="1" t="inlineStr">
        <is>
          <t>해외 배송비
(원/수정가능)</t>
        </is>
      </c>
      <c r="K1" s="1" t="inlineStr">
        <is>
          <t>CNY환율
(×1.03)</t>
        </is>
      </c>
      <c r="L1" s="1" t="inlineStr">
        <is>
          <t>관세청
CNY환율</t>
        </is>
      </c>
      <c r="M1" s="1" t="inlineStr">
        <is>
          <t>구매가
(원화환산)</t>
        </is>
      </c>
      <c r="N1" s="1" t="inlineStr">
        <is>
          <t>관세율
(%)</t>
        </is>
      </c>
      <c r="O1" s="1" t="inlineStr">
        <is>
          <t>CNY→USD
환산액</t>
        </is>
      </c>
      <c r="P1" s="1" t="inlineStr">
        <is>
          <t>150USD
초과여부</t>
        </is>
      </c>
      <c r="Q1" s="1" t="inlineStr">
        <is>
          <t>관세
(원)</t>
        </is>
      </c>
      <c r="R1" s="1" t="inlineStr">
        <is>
          <t>부가세
(원)</t>
        </is>
      </c>
      <c r="S1" s="1" t="inlineStr">
        <is>
          <t>총 원가
(원)</t>
        </is>
      </c>
      <c r="T1" s="1" t="inlineStr">
        <is>
          <t>KREAM
즉시구매가</t>
        </is>
      </c>
      <c r="U1" s="1" t="inlineStr">
        <is>
          <t>KREAM
즉시판매가</t>
        </is>
      </c>
      <c r="V1" s="1" t="inlineStr">
        <is>
          <t>KREAM
최근거래가</t>
        </is>
      </c>
      <c r="W1" s="1" t="inlineStr">
        <is>
          <t>수수료율</t>
        </is>
      </c>
      <c r="X1" s="1" t="inlineStr">
        <is>
          <t>고정수수료</t>
        </is>
      </c>
      <c r="Y1" s="1" t="inlineStr">
        <is>
          <t>판매수수료
(원)</t>
        </is>
      </c>
      <c r="Z1" s="1" t="inlineStr">
        <is>
          <t>수수료
부가세(원)</t>
        </is>
      </c>
      <c r="AA1" s="1" t="inlineStr">
        <is>
          <t>KREAM
정산금액(원)</t>
        </is>
      </c>
      <c r="AB1" s="1" t="inlineStr">
        <is>
          <t>순마진
(원)</t>
        </is>
      </c>
      <c r="AC1" s="1" t="inlineStr">
        <is>
          <t>마진율
(%)</t>
        </is>
      </c>
      <c r="AD1" s="1" t="inlineStr">
        <is>
          <t>판매추천</t>
        </is>
      </c>
      <c r="AE1" s="1" t="inlineStr">
        <is>
          <t>입찰희망가
(직접입력)</t>
        </is>
      </c>
    </row>
    <row r="2">
      <c r="A2" s="7" t="inlineStr"/>
      <c r="B2" s="7" t="inlineStr">
        <is>
          <t>KREAM고유</t>
        </is>
      </c>
      <c r="C2" s="7" t="inlineStr"/>
      <c r="D2" s="7" t="inlineStr"/>
      <c r="E2" s="7" t="inlineStr"/>
      <c r="F2" s="7" t="inlineStr"/>
      <c r="G2" s="7" t="inlineStr">
        <is>
          <t>의류/신발/가방</t>
        </is>
      </c>
      <c r="H2" s="7" t="inlineStr"/>
      <c r="I2" s="7" t="inlineStr">
        <is>
          <t>🔵직접입력</t>
        </is>
      </c>
      <c r="J2" s="7" t="inlineStr">
        <is>
          <t>🔵수정가능</t>
        </is>
      </c>
      <c r="K2" s="7" t="inlineStr">
        <is>
          <t>자동</t>
        </is>
      </c>
      <c r="L2" s="7" t="inlineStr">
        <is>
          <t>자동</t>
        </is>
      </c>
      <c r="M2" s="7" t="inlineStr">
        <is>
          <t>자동</t>
        </is>
      </c>
      <c r="N2" s="7" t="inlineStr">
        <is>
          <t>🔵카테고리별</t>
        </is>
      </c>
      <c r="O2" s="7" t="inlineStr">
        <is>
          <t>자동</t>
        </is>
      </c>
      <c r="P2" s="7" t="inlineStr">
        <is>
          <t>자동</t>
        </is>
      </c>
      <c r="Q2" s="7" t="inlineStr">
        <is>
          <t>자동</t>
        </is>
      </c>
      <c r="R2" s="7" t="inlineStr">
        <is>
          <t>자동</t>
        </is>
      </c>
      <c r="S2" s="7" t="inlineStr">
        <is>
          <t>자동계산</t>
        </is>
      </c>
      <c r="T2" s="7" t="inlineStr">
        <is>
          <t>🟢수집/입력</t>
        </is>
      </c>
      <c r="U2" s="7" t="inlineStr">
        <is>
          <t>🟢수집/입력</t>
        </is>
      </c>
      <c r="V2" s="7" t="inlineStr">
        <is>
          <t>🟢수집/입력</t>
        </is>
      </c>
      <c r="W2" s="7" t="inlineStr">
        <is>
          <t>자동</t>
        </is>
      </c>
      <c r="X2" s="7" t="inlineStr">
        <is>
          <t>자동</t>
        </is>
      </c>
      <c r="Y2" s="7" t="inlineStr">
        <is>
          <t>자동</t>
        </is>
      </c>
      <c r="Z2" s="7" t="inlineStr">
        <is>
          <t>자동</t>
        </is>
      </c>
      <c r="AA2" s="7" t="inlineStr">
        <is>
          <t>자동계산</t>
        </is>
      </c>
      <c r="AB2" s="7" t="inlineStr">
        <is>
          <t>자동계산</t>
        </is>
      </c>
      <c r="AC2" s="7" t="inlineStr">
        <is>
          <t>자동계산</t>
        </is>
      </c>
      <c r="AD2" s="7" t="inlineStr">
        <is>
          <t>자동</t>
        </is>
      </c>
      <c r="AE2" s="7" t="inlineStr">
        <is>
          <t>🔵직접입력</t>
        </is>
      </c>
    </row>
    <row r="3">
      <c r="A3" s="8" t="n">
        <v>1</v>
      </c>
      <c r="B3" s="8" t="n">
        <v>299954</v>
      </c>
      <c r="C3" s="8" t="inlineStr">
        <is>
          <t>IX7693</t>
        </is>
      </c>
      <c r="D3" s="8" t="inlineStr">
        <is>
          <t>Adidas</t>
        </is>
      </c>
      <c r="E3" s="8" t="inlineStr">
        <is>
          <t>Adidas Always Original Denim Shoulder Bag Blue</t>
        </is>
      </c>
      <c r="F3" s="8" t="inlineStr">
        <is>
          <t>아디다스 올웨이즈 오리지널 데님 숄더백 블루</t>
        </is>
      </c>
      <c r="G3" s="8" t="inlineStr">
        <is>
          <t>가방</t>
        </is>
      </c>
      <c r="H3" s="8" t="inlineStr">
        <is>
          <t>ONE SIZE</t>
        </is>
      </c>
      <c r="I3" s="8" t="n">
        <v>180</v>
      </c>
      <c r="J3" s="8">
        <f>설정!B7</f>
        <v/>
      </c>
      <c r="K3" s="9">
        <f>설정!B2*1.03</f>
        <v/>
      </c>
      <c r="L3" s="9">
        <f>설정!B3</f>
        <v/>
      </c>
      <c r="M3" s="10">
        <f>ROUND(I3*K3, 0)</f>
        <v/>
      </c>
      <c r="N3" s="11">
        <f>IF(G3="의류",설정!B9, IF(G3="신발",설정!B9, IF(G3="가방",설정!B10, 설정!B9)))</f>
        <v/>
      </c>
      <c r="O3" s="12">
        <f>ROUND(I3*L3/설정!B4, 2)</f>
        <v/>
      </c>
      <c r="P3" s="9">
        <f>IF(O3&gt;설정!B8,"초과","이하")</f>
        <v/>
      </c>
      <c r="Q3" s="10">
        <f>IF(P3="초과", ROUND(I3*L3*N3, 0), 0)</f>
        <v/>
      </c>
      <c r="R3" s="10">
        <f>IF(P3="초과", ROUND((I3*L3+Q3)*설정!B11, 0), 0)</f>
        <v/>
      </c>
      <c r="S3" s="10">
        <f>M3+Q3+R3+J3</f>
        <v/>
      </c>
      <c r="T3" s="13" t="n">
        <v>82000</v>
      </c>
      <c r="U3" s="13" t="n">
        <v>55000</v>
      </c>
      <c r="V3" s="13" t="n">
        <v>82000</v>
      </c>
      <c r="W3" s="14">
        <f>설정!B5</f>
        <v/>
      </c>
      <c r="X3" s="10">
        <f>설정!B6</f>
        <v/>
      </c>
      <c r="Y3" s="10">
        <f>ROUND(IF(AE3&gt;0, AE3, T3)*W3, 0)</f>
        <v/>
      </c>
      <c r="Z3" s="10">
        <f>ROUND((Y3+X3)*설정!B11, 0)</f>
        <v/>
      </c>
      <c r="AA3" s="10">
        <f>IF(AE3&gt;0, AE3, T3)-Y3-X3-Z3</f>
        <v/>
      </c>
      <c r="AB3" s="10">
        <f>AA3-S3</f>
        <v/>
      </c>
      <c r="AC3" s="14">
        <f>IF(S3&gt;0, AB3/S3, 0)</f>
        <v/>
      </c>
      <c r="AD3" s="9">
        <f>IF(AC3&gt;=설정!B12,"✅추천",IF(AC3&gt;=0.05,"⚠보통","❌비추"))</f>
        <v/>
      </c>
      <c r="AE3" s="13" t="n">
        <v>78000</v>
      </c>
    </row>
    <row r="4">
      <c r="A4" s="8" t="n">
        <v>2</v>
      </c>
      <c r="B4" s="8" t="n">
        <v>12831</v>
      </c>
      <c r="C4" s="8" t="inlineStr">
        <is>
          <t>315122-111</t>
        </is>
      </c>
      <c r="D4" s="8" t="inlineStr">
        <is>
          <t>Nike</t>
        </is>
      </c>
      <c r="E4" s="8" t="inlineStr">
        <is>
          <t>Nike Air Force 1 07 Low White</t>
        </is>
      </c>
      <c r="F4" s="8" t="inlineStr">
        <is>
          <t>나이키 에어포스 1 07 로우 화이트</t>
        </is>
      </c>
      <c r="G4" s="8" t="inlineStr">
        <is>
          <t>신발</t>
        </is>
      </c>
      <c r="H4" s="8" t="inlineStr">
        <is>
          <t>270</t>
        </is>
      </c>
      <c r="I4" s="8" t="n">
        <v>350</v>
      </c>
      <c r="J4" s="8">
        <f>설정!B7</f>
        <v/>
      </c>
      <c r="K4" s="9">
        <f>설정!B2*1.03</f>
        <v/>
      </c>
      <c r="L4" s="9">
        <f>설정!B3</f>
        <v/>
      </c>
      <c r="M4" s="10">
        <f>ROUND(I4*K4, 0)</f>
        <v/>
      </c>
      <c r="N4" s="11">
        <f>IF(G4="의류",설정!B9, IF(G4="신발",설정!B9, IF(G4="가방",설정!B10, 설정!B9)))</f>
        <v/>
      </c>
      <c r="O4" s="12">
        <f>ROUND(I4*L4/설정!B4, 2)</f>
        <v/>
      </c>
      <c r="P4" s="9">
        <f>IF(O4&gt;설정!B8,"초과","이하")</f>
        <v/>
      </c>
      <c r="Q4" s="10">
        <f>IF(P4="초과", ROUND(I4*L4*N4, 0), 0)</f>
        <v/>
      </c>
      <c r="R4" s="10">
        <f>IF(P4="초과", ROUND((I4*L4+Q4)*설정!B11, 0), 0)</f>
        <v/>
      </c>
      <c r="S4" s="10">
        <f>M4+Q4+R4+J4</f>
        <v/>
      </c>
      <c r="T4" s="13" t="n">
        <v>107000</v>
      </c>
      <c r="U4" s="13" t="n">
        <v>129000</v>
      </c>
      <c r="V4" s="13" t="n">
        <v>115000</v>
      </c>
      <c r="W4" s="14">
        <f>설정!B5</f>
        <v/>
      </c>
      <c r="X4" s="10">
        <f>설정!B6</f>
        <v/>
      </c>
      <c r="Y4" s="10">
        <f>ROUND(IF(AE4&gt;0, AE4, T4)*W4, 0)</f>
        <v/>
      </c>
      <c r="Z4" s="10">
        <f>ROUND((Y4+X4)*설정!B11, 0)</f>
        <v/>
      </c>
      <c r="AA4" s="10">
        <f>IF(AE4&gt;0, AE4, T4)-Y4-X4-Z4</f>
        <v/>
      </c>
      <c r="AB4" s="10">
        <f>AA4-S4</f>
        <v/>
      </c>
      <c r="AC4" s="14">
        <f>IF(S4&gt;0, AB4/S4, 0)</f>
        <v/>
      </c>
      <c r="AD4" s="9">
        <f>IF(AC4&gt;=설정!B12,"✅추천",IF(AC4&gt;=0.05,"⚠보통","❌비추"))</f>
        <v/>
      </c>
      <c r="AE4" s="13" t="n">
        <v>105000</v>
      </c>
    </row>
    <row r="5">
      <c r="A5" s="8" t="n">
        <v>3</v>
      </c>
      <c r="B5" s="8" t="n">
        <v>268535</v>
      </c>
      <c r="C5" s="8" t="inlineStr">
        <is>
          <t>1103322</t>
        </is>
      </c>
      <c r="D5" s="8" t="inlineStr">
        <is>
          <t>Montbell</t>
        </is>
      </c>
      <c r="E5" s="8" t="inlineStr">
        <is>
          <t>Montbell Wind Blast Hooded Jacket Black</t>
        </is>
      </c>
      <c r="F5" s="8" t="inlineStr">
        <is>
          <t>몽벨 윈드 블라스트 후드 자켓 블랙</t>
        </is>
      </c>
      <c r="G5" s="8" t="inlineStr">
        <is>
          <t>의류</t>
        </is>
      </c>
      <c r="H5" s="8" t="inlineStr">
        <is>
          <t>L</t>
        </is>
      </c>
      <c r="I5" s="8" t="n">
        <v>250</v>
      </c>
      <c r="J5" s="8">
        <f>설정!B7</f>
        <v/>
      </c>
      <c r="K5" s="9">
        <f>설정!B2*1.03</f>
        <v/>
      </c>
      <c r="L5" s="9">
        <f>설정!B3</f>
        <v/>
      </c>
      <c r="M5" s="10">
        <f>ROUND(I5*K5, 0)</f>
        <v/>
      </c>
      <c r="N5" s="11">
        <f>IF(G5="의류",설정!B9, IF(G5="신발",설정!B9, IF(G5="가방",설정!B10, 설정!B9)))</f>
        <v/>
      </c>
      <c r="O5" s="12">
        <f>ROUND(I5*L5/설정!B4, 2)</f>
        <v/>
      </c>
      <c r="P5" s="9">
        <f>IF(O5&gt;설정!B8,"초과","이하")</f>
        <v/>
      </c>
      <c r="Q5" s="10">
        <f>IF(P5="초과", ROUND(I5*L5*N5, 0), 0)</f>
        <v/>
      </c>
      <c r="R5" s="10">
        <f>IF(P5="초과", ROUND((I5*L5+Q5)*설정!B11, 0), 0)</f>
        <v/>
      </c>
      <c r="S5" s="10">
        <f>M5+Q5+R5+J5</f>
        <v/>
      </c>
      <c r="T5" s="13" t="n">
        <v>94000</v>
      </c>
      <c r="U5" s="13" t="n">
        <v>93000</v>
      </c>
      <c r="V5" s="13" t="n">
        <v>125000</v>
      </c>
      <c r="W5" s="14">
        <f>설정!B5</f>
        <v/>
      </c>
      <c r="X5" s="10">
        <f>설정!B6</f>
        <v/>
      </c>
      <c r="Y5" s="10">
        <f>ROUND(IF(AE5&gt;0, AE5, T5)*W5, 0)</f>
        <v/>
      </c>
      <c r="Z5" s="10">
        <f>ROUND((Y5+X5)*설정!B11, 0)</f>
        <v/>
      </c>
      <c r="AA5" s="10">
        <f>IF(AE5&gt;0, AE5, T5)-Y5-X5-Z5</f>
        <v/>
      </c>
      <c r="AB5" s="10">
        <f>AA5-S5</f>
        <v/>
      </c>
      <c r="AC5" s="14">
        <f>IF(S5&gt;0, AB5/S5, 0)</f>
        <v/>
      </c>
      <c r="AD5" s="9">
        <f>IF(AC5&gt;=설정!B12,"✅추천",IF(AC5&gt;=0.05,"⚠보통","❌비추"))</f>
        <v/>
      </c>
      <c r="AE5" s="13" t="n"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8" customWidth="1" min="6" max="6"/>
    <col width="12" customWidth="1" min="7" max="7"/>
    <col width="16" customWidth="1" min="8" max="8"/>
    <col width="20" customWidth="1" min="9" max="9"/>
    <col width="24" customWidth="1" min="10" max="10"/>
    <col width="14" customWidth="1" min="11" max="11"/>
    <col width="24" customWidth="1" min="12" max="12"/>
    <col width="16" customWidth="1" style="15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45" customHeight="1">
      <c r="A1" s="1" t="inlineStr">
        <is>
          <t>상품번호</t>
        </is>
      </c>
      <c r="B1" s="1" t="inlineStr">
        <is>
          <t>카테고리</t>
        </is>
      </c>
      <c r="C1" s="1" t="inlineStr">
        <is>
          <t>종류</t>
        </is>
      </c>
      <c r="D1" s="1" t="inlineStr">
        <is>
          <t>소재</t>
        </is>
      </c>
      <c r="E1" s="1" t="inlineStr">
        <is>
          <t>색상</t>
        </is>
      </c>
      <c r="F1" s="1" t="inlineStr">
        <is>
          <t>크기(가방)
/발길이(신발)</t>
        </is>
      </c>
      <c r="G1" s="1" t="inlineStr">
        <is>
          <t>굽높이
(신발만)</t>
        </is>
      </c>
      <c r="H1" s="1" t="inlineStr">
        <is>
          <t>제조자/수입자</t>
        </is>
      </c>
      <c r="I1" s="1" t="inlineStr">
        <is>
          <t>제조국</t>
        </is>
      </c>
      <c r="J1" s="1" t="inlineStr">
        <is>
          <t>취급시 주의사항</t>
        </is>
      </c>
      <c r="K1" s="1" t="inlineStr">
        <is>
          <t>제조년월</t>
        </is>
      </c>
      <c r="L1" s="1" t="inlineStr">
        <is>
          <t>품질보증기준</t>
        </is>
      </c>
      <c r="M1" s="1" t="inlineStr">
        <is>
          <t>AS 전화번호</t>
        </is>
      </c>
      <c r="N1" s="1" t="inlineStr">
        <is>
          <t>원산지</t>
        </is>
      </c>
      <c r="O1" s="1" t="inlineStr">
        <is>
          <t>HS코드</t>
        </is>
      </c>
      <c r="P1" s="1" t="inlineStr">
        <is>
          <t>상품무게(kg)</t>
        </is>
      </c>
      <c r="Q1" s="1" t="inlineStr">
        <is>
          <t>박스가로(cm)</t>
        </is>
      </c>
      <c r="R1" s="1" t="inlineStr">
        <is>
          <t>박스세로(cm)</t>
        </is>
      </c>
      <c r="S1" s="1" t="inlineStr">
        <is>
          <t>박스높이(cm)</t>
        </is>
      </c>
    </row>
    <row r="2">
      <c r="A2" s="16" t="inlineStr">
        <is>
          <t>KREAM번호</t>
        </is>
      </c>
      <c r="B2" s="16" t="inlineStr">
        <is>
          <t>의류/신발/가방 등</t>
        </is>
      </c>
      <c r="C2" s="16" t="inlineStr">
        <is>
          <t>숄더백/토트백 등</t>
        </is>
      </c>
      <c r="D2" s="16" t="inlineStr">
        <is>
          <t>데님/가죽 등</t>
        </is>
      </c>
      <c r="E2" s="16" t="inlineStr"/>
      <c r="F2" s="16" t="inlineStr">
        <is>
          <t>가방:50*20*30cm
신발:설정 기본값</t>
        </is>
      </c>
      <c r="G2" s="16" t="inlineStr">
        <is>
          <t>신발만
설정 기본값</t>
        </is>
      </c>
      <c r="H2" s="16" t="inlineStr">
        <is>
          <t>브랜드명</t>
        </is>
      </c>
      <c r="I2" s="16" t="inlineStr">
        <is>
          <t>설정 기본값</t>
        </is>
      </c>
      <c r="J2" s="16" t="inlineStr">
        <is>
          <t>설정 기본값</t>
        </is>
      </c>
      <c r="K2" s="16" t="inlineStr">
        <is>
          <t>설정 기본값</t>
        </is>
      </c>
      <c r="L2" s="16" t="inlineStr">
        <is>
          <t>설정 기본값</t>
        </is>
      </c>
      <c r="M2" s="16" t="inlineStr">
        <is>
          <t>설정 기본값</t>
        </is>
      </c>
      <c r="N2" s="16" t="inlineStr">
        <is>
          <t>드롭다운 텍스트</t>
        </is>
      </c>
      <c r="O2" s="16" t="inlineStr">
        <is>
          <t>드롭다운 텍스트</t>
        </is>
      </c>
      <c r="P2" s="16" t="inlineStr"/>
      <c r="Q2" s="16" t="inlineStr"/>
      <c r="R2" s="16" t="inlineStr"/>
      <c r="S2" s="16" t="inlineStr"/>
    </row>
    <row r="3">
      <c r="A3" s="8" t="n">
        <v>299954</v>
      </c>
      <c r="B3" s="8" t="inlineStr">
        <is>
          <t>가방</t>
        </is>
      </c>
      <c r="C3" s="8" t="inlineStr">
        <is>
          <t>숄더백</t>
        </is>
      </c>
      <c r="D3" s="8" t="inlineStr">
        <is>
          <t>데님</t>
        </is>
      </c>
      <c r="E3" s="8" t="inlineStr">
        <is>
          <t>블루</t>
        </is>
      </c>
      <c r="F3" s="8" t="inlineStr">
        <is>
          <t>50*20*30cm</t>
        </is>
      </c>
      <c r="G3" s="8" t="inlineStr"/>
      <c r="H3" s="8" t="inlineStr">
        <is>
          <t>Adidas</t>
        </is>
      </c>
      <c r="I3" s="9">
        <f>설정!B19</f>
        <v/>
      </c>
      <c r="J3" s="9">
        <f>설정!B22</f>
        <v/>
      </c>
      <c r="K3" s="9">
        <f>설정!B27</f>
        <v/>
      </c>
      <c r="L3" s="9">
        <f>설정!B23</f>
        <v/>
      </c>
      <c r="M3" s="17">
        <f>설정!B24</f>
        <v/>
      </c>
      <c r="N3" s="8" t="inlineStr"/>
      <c r="O3" s="8" t="inlineStr"/>
      <c r="P3" s="8" t="inlineStr"/>
      <c r="Q3" s="8" t="inlineStr"/>
      <c r="R3" s="8" t="inlineStr"/>
      <c r="S3" s="8" t="inlineStr"/>
    </row>
    <row r="4">
      <c r="A4" s="8" t="n">
        <v>12831</v>
      </c>
      <c r="B4" s="8" t="inlineStr">
        <is>
          <t>구두/신발</t>
        </is>
      </c>
      <c r="C4" s="8" t="inlineStr">
        <is>
          <t>운동화</t>
        </is>
      </c>
      <c r="D4" s="8" t="inlineStr">
        <is>
          <t>합성 가죽/메쉬</t>
        </is>
      </c>
      <c r="E4" s="8" t="inlineStr">
        <is>
          <t>화이트</t>
        </is>
      </c>
      <c r="F4" s="9">
        <f>설정!B25</f>
        <v/>
      </c>
      <c r="G4" s="9">
        <f>설정!B26</f>
        <v/>
      </c>
      <c r="H4" s="8" t="inlineStr">
        <is>
          <t>Nike</t>
        </is>
      </c>
      <c r="I4" s="9">
        <f>설정!B19</f>
        <v/>
      </c>
      <c r="J4" s="9">
        <f>설정!B21</f>
        <v/>
      </c>
      <c r="K4" s="9">
        <f>설정!B27</f>
        <v/>
      </c>
      <c r="L4" s="9">
        <f>설정!B23</f>
        <v/>
      </c>
      <c r="M4" s="17">
        <f>설정!B24</f>
        <v/>
      </c>
      <c r="N4" s="8" t="inlineStr"/>
      <c r="O4" s="8" t="inlineStr"/>
      <c r="P4" s="8" t="inlineStr">
        <is>
          <t>0.8</t>
        </is>
      </c>
      <c r="Q4" s="8" t="inlineStr">
        <is>
          <t>35</t>
        </is>
      </c>
      <c r="R4" s="8" t="inlineStr">
        <is>
          <t>25</t>
        </is>
      </c>
      <c r="S4" s="8" t="inlineStr">
        <is>
          <t>15</t>
        </is>
      </c>
    </row>
    <row r="5">
      <c r="A5" s="8" t="n">
        <v>268535</v>
      </c>
      <c r="B5" s="8" t="inlineStr">
        <is>
          <t>의류</t>
        </is>
      </c>
      <c r="C5" s="8" t="inlineStr">
        <is>
          <t>자켓</t>
        </is>
      </c>
      <c r="D5" s="8" t="inlineStr">
        <is>
          <t>나일론</t>
        </is>
      </c>
      <c r="E5" s="8" t="inlineStr">
        <is>
          <t>블랙</t>
        </is>
      </c>
      <c r="F5" s="8" t="inlineStr">
        <is>
          <t>상품별 상이</t>
        </is>
      </c>
      <c r="G5" s="8" t="inlineStr"/>
      <c r="H5" s="8" t="inlineStr">
        <is>
          <t>Montbell</t>
        </is>
      </c>
      <c r="I5" s="9">
        <f>설정!B19</f>
        <v/>
      </c>
      <c r="J5" s="9">
        <f>설정!B20</f>
        <v/>
      </c>
      <c r="K5" s="9">
        <f>설정!B27</f>
        <v/>
      </c>
      <c r="L5" s="9">
        <f>설정!B23</f>
        <v/>
      </c>
      <c r="M5" s="17">
        <f>설정!B24</f>
        <v/>
      </c>
      <c r="N5" s="8" t="inlineStr"/>
      <c r="O5" s="8" t="inlineStr"/>
      <c r="P5" s="8" t="inlineStr"/>
      <c r="Q5" s="8" t="inlineStr"/>
      <c r="R5" s="8" t="inlineStr"/>
      <c r="S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4" customWidth="1" min="4" max="4"/>
    <col width="14" customWidth="1" min="5" max="5"/>
    <col width="8" customWidth="1" min="6" max="6"/>
    <col width="12" customWidth="1" min="7" max="7"/>
    <col width="25" customWidth="1" min="8" max="8"/>
  </cols>
  <sheetData>
    <row r="1" ht="100" customHeight="1">
      <c r="A1" s="18" t="inlineStr">
        <is>
          <t>KREAM 대량 판매 입찰 유의사항 v0.4
- 상품번호, 옵션명, 판매 희망가, 수량은 필수 입력입니다.
- 입찰 마감 기한: 7일, 30일, 60일, 90일, 180일, 무기한
- 2만원부터 1천원 단위로 입찰 가능
- 단일 사이즈는 ONE SIZE 입력</t>
        </is>
      </c>
    </row>
    <row r="2">
      <c r="A2" s="19" t="inlineStr">
        <is>
          <t>상품번호</t>
        </is>
      </c>
      <c r="B2" s="19" t="inlineStr">
        <is>
          <t>모델번호</t>
        </is>
      </c>
      <c r="C2" s="19" t="inlineStr">
        <is>
          <t>영문 상품명</t>
        </is>
      </c>
      <c r="D2" s="19" t="inlineStr">
        <is>
          <t>옵션명</t>
        </is>
      </c>
      <c r="E2" s="19" t="inlineStr">
        <is>
          <t>판매 희망가</t>
        </is>
      </c>
      <c r="F2" s="19" t="inlineStr">
        <is>
          <t>수량</t>
        </is>
      </c>
      <c r="G2" s="19" t="inlineStr">
        <is>
          <t>입찰기한</t>
        </is>
      </c>
      <c r="H2" s="19" t="inlineStr">
        <is>
          <t>검수 보류 시 창고 보관 신청</t>
        </is>
      </c>
    </row>
    <row r="3">
      <c r="A3" s="20" t="inlineStr">
        <is>
          <t>필수</t>
        </is>
      </c>
      <c r="B3" s="20" t="inlineStr">
        <is>
          <t>선택</t>
        </is>
      </c>
      <c r="C3" s="20" t="inlineStr">
        <is>
          <t>선택</t>
        </is>
      </c>
      <c r="D3" s="20" t="inlineStr">
        <is>
          <t>필수</t>
        </is>
      </c>
      <c r="E3" s="20" t="inlineStr">
        <is>
          <t>필수</t>
        </is>
      </c>
      <c r="F3" s="20" t="inlineStr">
        <is>
          <t>필수</t>
        </is>
      </c>
      <c r="G3" s="20" t="inlineStr">
        <is>
          <t>필수</t>
        </is>
      </c>
      <c r="H3" s="20" t="inlineStr">
        <is>
          <t>선택</t>
        </is>
      </c>
    </row>
    <row r="4">
      <c r="A4" s="21">
        <f>상품마스터!B3</f>
        <v/>
      </c>
      <c r="B4" s="21">
        <f>상품마스터!C3</f>
        <v/>
      </c>
      <c r="C4" s="21">
        <f>상품마스터!E3</f>
        <v/>
      </c>
      <c r="D4" s="21">
        <f>상품마스터!H3</f>
        <v/>
      </c>
      <c r="E4" s="21">
        <f>상품마스터!AE3</f>
        <v/>
      </c>
      <c r="F4" s="21" t="n">
        <v>1</v>
      </c>
      <c r="G4" s="21" t="inlineStr">
        <is>
          <t>무기한</t>
        </is>
      </c>
      <c r="H4" s="21" t="inlineStr">
        <is>
          <t>미신청</t>
        </is>
      </c>
    </row>
    <row r="5">
      <c r="A5" s="21">
        <f>상품마스터!B4</f>
        <v/>
      </c>
      <c r="B5" s="21">
        <f>상품마스터!C4</f>
        <v/>
      </c>
      <c r="C5" s="21">
        <f>상품마스터!E4</f>
        <v/>
      </c>
      <c r="D5" s="21">
        <f>상품마스터!H4</f>
        <v/>
      </c>
      <c r="E5" s="21">
        <f>상품마스터!AE4</f>
        <v/>
      </c>
      <c r="F5" s="21" t="n">
        <v>1</v>
      </c>
      <c r="G5" s="21" t="inlineStr">
        <is>
          <t>무기한</t>
        </is>
      </c>
      <c r="H5" s="21" t="inlineStr">
        <is>
          <t>미신청</t>
        </is>
      </c>
    </row>
    <row r="6">
      <c r="A6" s="21">
        <f>상품마스터!B5</f>
        <v/>
      </c>
      <c r="B6" s="21">
        <f>상품마스터!C5</f>
        <v/>
      </c>
      <c r="C6" s="21">
        <f>상품마스터!E5</f>
        <v/>
      </c>
      <c r="D6" s="21">
        <f>상품마스터!H5</f>
        <v/>
      </c>
      <c r="E6" s="21">
        <f>상품마스터!AE5</f>
        <v/>
      </c>
      <c r="F6" s="21" t="n">
        <v>1</v>
      </c>
      <c r="G6" s="21" t="inlineStr">
        <is>
          <t>무기한</t>
        </is>
      </c>
      <c r="H6" s="21" t="inlineStr">
        <is>
          <t>미신청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3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 ht="40" customHeight="1">
      <c r="A1" s="1" t="inlineStr">
        <is>
          <t>상품번호</t>
        </is>
      </c>
      <c r="B1" s="1" t="inlineStr">
        <is>
          <t>모델번호</t>
        </is>
      </c>
      <c r="C1" s="1" t="inlineStr">
        <is>
          <t>영문상품명</t>
        </is>
      </c>
      <c r="D1" s="1" t="inlineStr">
        <is>
          <t>한글상품명</t>
        </is>
      </c>
      <c r="E1" s="1" t="inlineStr">
        <is>
          <t>발매가</t>
        </is>
      </c>
      <c r="F1" s="1" t="inlineStr">
        <is>
          <t>일반판매
최근거래가</t>
        </is>
      </c>
      <c r="G1" s="1" t="inlineStr">
        <is>
          <t>해외배송
최근거래가</t>
        </is>
      </c>
      <c r="H1" s="1" t="inlineStr">
        <is>
          <t>일반판매
즉시구매가</t>
        </is>
      </c>
      <c r="I1" s="1" t="inlineStr">
        <is>
          <t>해외배송
즉시구매가</t>
        </is>
      </c>
      <c r="J1" s="1" t="inlineStr">
        <is>
          <t>일반판매
즉시판매가</t>
        </is>
      </c>
      <c r="K1" s="1" t="inlineStr">
        <is>
          <t>프리미엄</t>
        </is>
      </c>
      <c r="L1" s="1" t="inlineStr">
        <is>
          <t>판매입찰수</t>
        </is>
      </c>
      <c r="M1" s="1" t="inlineStr">
        <is>
          <t>구매입찰수</t>
        </is>
      </c>
      <c r="N1" s="1" t="inlineStr">
        <is>
          <t>수집일시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실행일시</t>
        </is>
      </c>
      <c r="B1" s="1" t="inlineStr">
        <is>
          <t>작업유형</t>
        </is>
      </c>
      <c r="C1" s="1" t="inlineStr">
        <is>
          <t>대상 상품수</t>
        </is>
      </c>
      <c r="D1" s="1" t="inlineStr">
        <is>
          <t>성공</t>
        </is>
      </c>
      <c r="E1" s="1" t="inlineStr">
        <is>
          <t>실패</t>
        </is>
      </c>
      <c r="F1" s="1" t="inlineStr">
        <is>
          <t>비고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0" customWidth="1" min="4" max="4"/>
    <col width="16" customWidth="1" min="5" max="5"/>
    <col width="14" customWidth="1" min="6" max="6"/>
    <col width="25" customWidth="1" min="7" max="7"/>
    <col width="18" customWidth="1" min="8" max="8"/>
  </cols>
  <sheetData>
    <row r="1">
      <c r="A1" s="1" t="inlineStr">
        <is>
          <t>모델번호</t>
        </is>
      </c>
      <c r="B1" s="1" t="inlineStr">
        <is>
          <t>상품명(중국)</t>
        </is>
      </c>
      <c r="C1" s="1" t="inlineStr">
        <is>
          <t>중국 구매가(CNY)</t>
        </is>
      </c>
      <c r="D1" s="1" t="inlineStr">
        <is>
          <t>구매 사이트/링크</t>
        </is>
      </c>
      <c r="E1" s="1" t="inlineStr">
        <is>
          <t>중국내 배송비(CNY)</t>
        </is>
      </c>
      <c r="F1" s="1" t="inlineStr">
        <is>
          <t>해외배송비(원)</t>
        </is>
      </c>
      <c r="G1" s="1" t="inlineStr">
        <is>
          <t>비고</t>
        </is>
      </c>
      <c r="H1" s="1" t="inlineStr">
        <is>
          <t>수집일시</t>
        </is>
      </c>
    </row>
    <row r="2">
      <c r="A2" s="22" t="inlineStr">
        <is>
          <t>← 해외가격 수집 프로그램에서 이 시트로 데이터를 불러옵니다</t>
        </is>
      </c>
    </row>
    <row r="3">
      <c r="A3" s="22" t="inlineStr">
        <is>
          <t>← 모델번호 기준으로 상품마스터와 연동됩니다</t>
        </is>
      </c>
    </row>
  </sheetData>
  <mergeCells count="2">
    <mergeCell ref="A3:H3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2026-04-12T01:17:54Z</dcterms:created>
  <dcterms:modified xmlns:dcterms="http://purl.org/dc/terms/" xmlns:xsi="http://www.w3.org/2001/XMLSchema-instance" xsi:type="dcterms:W3CDTF">2026-04-12T01:17:54Z</dcterms:modified>
</cp:coreProperties>
</file>